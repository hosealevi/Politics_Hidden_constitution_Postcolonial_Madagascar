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earch Plan 2026" sheetId="1" r:id="rId4"/>
  </sheets>
  <definedNames/>
  <calcPr/>
  <extLst>
    <ext uri="GoogleSheetsCustomDataVersion2">
      <go:sheetsCustomData xmlns:go="http://customooxmlschemas.google.com/" r:id="rId5" roundtripDataChecksum="zL7keKMctoZko2h4jagKxWletiWk+PBNwiUgQ94VMbE="/>
    </ext>
  </extLst>
</workbook>
</file>

<file path=xl/sharedStrings.xml><?xml version="1.0" encoding="utf-8"?>
<sst xmlns="http://schemas.openxmlformats.org/spreadsheetml/2006/main" count="266" uniqueCount="208">
  <si>
    <t>Document 14 — Research Timeline and Work Plan</t>
  </si>
  <si>
    <t>Project: The Hidden Constitution: Informal Negotiation and Executive Formation in Post-Colonial Madagascar</t>
  </si>
  <si>
    <t>Researcher</t>
  </si>
  <si>
    <t>Rakotoarimanana Hosea Levi</t>
  </si>
  <si>
    <t>Ethics body</t>
  </si>
  <si>
    <t>CMEST</t>
  </si>
  <si>
    <t>Planned publication</t>
  </si>
  <si>
    <t>Research Work Plan Summary</t>
  </si>
  <si>
    <t>Research type</t>
  </si>
  <si>
    <t>Qualitative political science</t>
  </si>
  <si>
    <t>Main period covered</t>
  </si>
  <si>
    <t>1958 to June 2026</t>
  </si>
  <si>
    <t>Public release</t>
  </si>
  <si>
    <t>Selected non-KII datasets + GitHub scripts</t>
  </si>
  <si>
    <t>Total tasks</t>
  </si>
  <si>
    <t>Completed</t>
  </si>
  <si>
    <t>In progress</t>
  </si>
  <si>
    <t>Planned</t>
  </si>
  <si>
    <t>Delayed</t>
  </si>
  <si>
    <t>Avg progress</t>
  </si>
  <si>
    <t>IRB month</t>
  </si>
  <si>
    <t>Data collection month</t>
  </si>
  <si>
    <t>Publication month</t>
  </si>
  <si>
    <t>Important ethical rule</t>
  </si>
  <si>
    <t>No KII data in public platform or GitHub</t>
  </si>
  <si>
    <t>Data collection period</t>
  </si>
  <si>
    <t>September 2026</t>
  </si>
  <si>
    <t>KII sample target</t>
  </si>
  <si>
    <t>25–35 interviews</t>
  </si>
  <si>
    <t>August 2026</t>
  </si>
  <si>
    <t>December 2026</t>
  </si>
  <si>
    <t>Detailed timeline table — update Status and Progress as work advances. Duration and timeline markers are formula-driven.</t>
  </si>
  <si>
    <t>Month start</t>
  </si>
  <si>
    <t>ID</t>
  </si>
  <si>
    <t>Phase</t>
  </si>
  <si>
    <t>Start date</t>
  </si>
  <si>
    <t>End date</t>
  </si>
  <si>
    <t>Duration days</t>
  </si>
  <si>
    <t>Detailed activities</t>
  </si>
  <si>
    <t>Key outputs / deliverables</t>
  </si>
  <si>
    <t>Ethics and data safeguards</t>
  </si>
  <si>
    <t>Dependencies</t>
  </si>
  <si>
    <t>Status</t>
  </si>
  <si>
    <t>Progress</t>
  </si>
  <si>
    <t>Owner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</si>
  <si>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</si>
  <si>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</si>
  <si>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</si>
  <si>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</si>
  <si>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</si>
  <si>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</si>
  <si>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</si>
  <si>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</si>
  <si>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</si>
  <si>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</si>
  <si>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Notes</t>
  </si>
  <si>
    <t>1.1</t>
  </si>
  <si>
    <t>Literature review</t>
  </si>
  <si>
    <t>Identify core theoretical literature on constitutions, informal institutions, executive formation, crises, legitimacy, and African transitions.</t>
  </si>
  <si>
    <t>Initial literature database; thematic folders; preliminary notes for introduction and theory.</t>
  </si>
  <si>
    <t>Use only scholarly/public sources; track citations and relevance.</t>
  </si>
  <si>
    <t>Research question and abstract already defined.</t>
  </si>
  <si>
    <t>Completed before field/data collection.</t>
  </si>
  <si>
    <t>1.2</t>
  </si>
  <si>
    <t>Deepen literature review with French and English scholarship on Madagascar, African political crises, mediation, and constitutional politics.</t>
  </si>
  <si>
    <t>Section-by-section literature map; source assessment tool; reading priorities.</t>
  </si>
  <si>
    <t>Assess source credibility and relevance before inclusion.</t>
  </si>
  <si>
    <t>March literature search.</t>
  </si>
  <si>
    <t>Strengthens theoretical framework.</t>
  </si>
  <si>
    <t>1.3</t>
  </si>
  <si>
    <t>Synthesize literature into the paper structure and identify gaps that the Madagascar case addresses.</t>
  </si>
  <si>
    <t>Final literature review notes; refined methodology; section questions.</t>
  </si>
  <si>
    <t>Separate evidence from interpretation; avoid overfitting hidden constitution argument.</t>
  </si>
  <si>
    <t>March–April review.</t>
  </si>
  <si>
    <t>Literature review period closes at end of May.</t>
  </si>
  <si>
    <t>2.1</t>
  </si>
  <si>
    <t>Text collection and analysis</t>
  </si>
  <si>
    <t>Collect constitutional texts, amendments, transition charters, political agreements, decrees, and official documents.</t>
  </si>
  <si>
    <t>Document inventory; DB2/DB4 source list; missing-source register.</t>
  </si>
  <si>
    <t>Respect copyright and access restrictions; record source metadata.</t>
  </si>
  <si>
    <t>Literature review complete.</t>
  </si>
  <si>
    <t>June starts documentary collection.</t>
  </si>
  <si>
    <t>2.2</t>
  </si>
  <si>
    <t>Develop source assessment and triangulation system; classify documents by crisis period and research question relevance.</t>
  </si>
  <si>
    <t>Source assessment matrix; reliability coding; triangulation protocol draft.</t>
  </si>
  <si>
    <t>Mark restricted/commercial sources; no redistribution of copyrighted originals.</t>
  </si>
  <si>
    <t>Initial document inventory.</t>
  </si>
  <si>
    <t>Supports Document 11.</t>
  </si>
  <si>
    <t>2.3</t>
  </si>
  <si>
    <t>Continue text collection and begin detailed coding of constitutional rupture, actors/resources, legitimacy claims, and settlement documents.</t>
  </si>
  <si>
    <t>Updated DB3/DB5 working files; preliminary coding categories.</t>
  </si>
  <si>
    <t>Keep KII and documentary data separate; no KII data collected before IRB approval.</t>
  </si>
  <si>
    <t>June source collection.</t>
  </si>
  <si>
    <t>July analysis of collected texts.</t>
  </si>
  <si>
    <t>2.4</t>
  </si>
  <si>
    <t>Prepare commercial access requests to selected news/media organizations for full archival databases and original copies where available.</t>
  </si>
  <si>
    <t>Draft archive access requests; list of target media archives; copyright/access notes.</t>
  </si>
  <si>
    <t>Commercial archives used for verification only; restricted originals not redistributed.</t>
  </si>
  <si>
    <t>Source assessment protocol.</t>
  </si>
  <si>
    <t>Important for media archive completeness.</t>
  </si>
  <si>
    <t>3.1</t>
  </si>
  <si>
    <t>IRB / CMEST submission</t>
  </si>
  <si>
    <t>Finalize ethics documents: protocol, participant information sheet, consent form, interview guide, data management plan, risk plan, recruitment script, verbal consent, sampling matrix, tracking tools, triangulation protocol.</t>
  </si>
  <si>
    <t>Complete ethics submission package.</t>
  </si>
  <si>
    <t>Ensure all KII safeguards are consistent across documents.</t>
  </si>
  <si>
    <t>Documents 1–14 drafted.</t>
  </si>
  <si>
    <t>Submit in August 2026.</t>
  </si>
  <si>
    <t>3.2</t>
  </si>
  <si>
    <t>Submit ethics application to CMEST and respond to administrative or technical requests if any.</t>
  </si>
  <si>
    <t>Submission confirmation; response log.</t>
  </si>
  <si>
    <t>No KII recruitment before approval if approval is required.</t>
  </si>
  <si>
    <t>Complete ethics package.</t>
  </si>
  <si>
    <t>IRB/CMEST process.</t>
  </si>
  <si>
    <t>3.3</t>
  </si>
  <si>
    <t>Prepare final fieldwork logistics while awaiting ethics clearance: contact list, interview schedule template, secure storage folders, consent logs.</t>
  </si>
  <si>
    <t>Fieldwork readiness checklist; encrypted folder structure; participant code system.</t>
  </si>
  <si>
    <t>Do not collect KII data before clearance; prepare only.</t>
  </si>
  <si>
    <t>CMEST submission initiated.</t>
  </si>
  <si>
    <t>Preparation only, not data collection.</t>
  </si>
  <si>
    <t>4.1</t>
  </si>
  <si>
    <t>KII data collection</t>
  </si>
  <si>
    <t>Begin recruitment and interviews after ethics clearance; contact priority informants across categories.</t>
  </si>
  <si>
    <t>First wave of KII interviews; recruitment tracking updated.</t>
  </si>
  <si>
    <t>Voluntary participation; written/verbal consent; anonymization; recording only with permission.</t>
  </si>
  <si>
    <t>Ethics clearance or authorization.</t>
  </si>
  <si>
    <t>Start of field data collection.</t>
  </si>
  <si>
    <t>4.2</t>
  </si>
  <si>
    <t>Conduct interviews with constitutional experts, historians, journalists, civil society actors, and former officials.</t>
  </si>
  <si>
    <t>KII transcripts/notes; oral consent logs; debrief memos.</t>
  </si>
  <si>
    <t>Manual transcription only; no external AI/cloud transcription; raw audio stored locally.</t>
  </si>
  <si>
    <t>Recruitment wave 1.</t>
  </si>
  <si>
    <t>Ensure balance across crises.</t>
  </si>
  <si>
    <t>4.3</t>
  </si>
  <si>
    <t>Complete or continue interviews; assess thematic saturation; identify missing participant categories.</t>
  </si>
  <si>
    <t>Updated sampling matrix; saturation memo; follow-up interview list.</t>
  </si>
  <si>
    <t>Exclude unsafe/confidential material; track participant restrictions.</t>
  </si>
  <si>
    <t>First interviews completed.</t>
  </si>
  <si>
    <t>End September target for main data collection.</t>
  </si>
  <si>
    <t>5.1</t>
  </si>
  <si>
    <t>Transcription and anonymization</t>
  </si>
  <si>
    <t>Complete manual transcription and verification of September interviews.</t>
  </si>
  <si>
    <t>Verified raw transcripts; transcription status log.</t>
  </si>
  <si>
    <t>No external transcription; destroy raw audio no later than 90 days after interview.</t>
  </si>
  <si>
    <t>KII collection completed or underway.</t>
  </si>
  <si>
    <t>Ethics-sensitive stage.</t>
  </si>
  <si>
    <t>5.2</t>
  </si>
  <si>
    <t>Remove direct and indirect identifiers; create anonymized transcripts and coded extracts.</t>
  </si>
  <si>
    <t>Anonymized transcripts; anonymization checklist; exclusion notes.</t>
  </si>
  <si>
    <t>Generalize roles; remove unique details; keep ID key separate.</t>
  </si>
  <si>
    <t>Raw transcripts created.</t>
  </si>
  <si>
    <t>KII material remains internal only.</t>
  </si>
  <si>
    <t>5.3</t>
  </si>
  <si>
    <t>Preliminary analysis</t>
  </si>
  <si>
    <t>Triangulate interview insights with documentary sources, media archives, agreements, decrees, and constitutional texts.</t>
  </si>
  <si>
    <t>Triangulation matrix; claims requiring verification; database updates.</t>
  </si>
  <si>
    <t>No unverified allegations used as facts; sensitive claims excluded or qualified.</t>
  </si>
  <si>
    <t>Anonymized transcripts.</t>
  </si>
  <si>
    <t>Links KII to documentary evidence.</t>
  </si>
  <si>
    <t>6.1</t>
  </si>
  <si>
    <t>Analysis and writing</t>
  </si>
  <si>
    <t>Analyze Section 1: crisis as political opportunity; political rupture and constitutionally disqualified candidates.</t>
  </si>
  <si>
    <t>Draft Section 1; evidence tables; process tracing notes.</t>
  </si>
  <si>
    <t>Use triangulated claims; protect KII anonymity.</t>
  </si>
  <si>
    <t>Coding and triangulation.</t>
  </si>
  <si>
    <t>Paper drafting starts.</t>
  </si>
  <si>
    <t>6.2</t>
  </si>
  <si>
    <t>Analyze Section 2: informal settlement and legitimacy; legitimacy negotiation and agreements making the executive.</t>
  </si>
  <si>
    <t>Draft Section 2; legitimacy discourse tables; settlement analysis.</t>
  </si>
  <si>
    <t>Separate public claims from participant interpretations.</t>
  </si>
  <si>
    <t>Section 1 draft and DB5 coding.</t>
  </si>
  <si>
    <t>Core argument consolidation.</t>
  </si>
  <si>
    <t>6.3</t>
  </si>
  <si>
    <t>Draft discussion, conclusion, methodology refinement, and limitations; prepare tables and figures.</t>
  </si>
  <si>
    <t>Full paper draft; revised methodology; limitations and ethics statement.</t>
  </si>
  <si>
    <t>Report uncertainty; do not overclaim recent 2025–2026 sequence.</t>
  </si>
  <si>
    <t>Sections 1 and 2 drafts.</t>
  </si>
  <si>
    <t>End of November full draft.</t>
  </si>
  <si>
    <t>7.1</t>
  </si>
  <si>
    <t>Revision and publication</t>
  </si>
  <si>
    <t>Revise full manuscript, check citations, verify database entries, finalize tables and references.</t>
  </si>
  <si>
    <t>Near-final manuscript; clean tables; reference list.</t>
  </si>
  <si>
    <t>Final check for anonymization and safe use of excerpts.</t>
  </si>
  <si>
    <t>Full draft.</t>
  </si>
  <si>
    <t>Publication preparation.</t>
  </si>
  <si>
    <t>7.2</t>
  </si>
  <si>
    <t>Publication and public release</t>
  </si>
  <si>
    <t>Submit or publish article; prepare selected public datasets and codebook for platform release.</t>
  </si>
  <si>
    <t>Submitted/published paper; selected cleaned datasets; public codebook.</t>
  </si>
  <si>
    <t>No KII data; no copyrighted originals unless permission granted.</t>
  </si>
  <si>
    <t>Final manuscript and cleaned databases.</t>
  </si>
  <si>
    <t>Publication planned in December 2026.</t>
  </si>
  <si>
    <t>7.3</t>
  </si>
  <si>
    <t>Prepare GitHub repository with Python scripts for public datasets and document exclusions.</t>
  </si>
  <si>
    <t>GitHub repository; README; requirements file; citation instructions; version history.</t>
  </si>
  <si>
    <t>Scripts contain no KII data, credentials, restricted archives, or confidential notes.</t>
  </si>
  <si>
    <t>Public dataset review completed.</t>
  </si>
  <si>
    <t>End-of-project public transparency package.</t>
  </si>
  <si>
    <t>Notes for ethics submission and project management</t>
  </si>
  <si>
    <t>IRB/CMEST timing</t>
  </si>
  <si>
    <t>Ethics submission is planned for August 2026. KII data collection begins in September 2026 after clearance/authorization.</t>
  </si>
  <si>
    <t>Data collection</t>
  </si>
  <si>
    <t>September 2026 is reserved for KII recruitment/interviews. Documentary/media archive work continues in parallel when legally accessible.</t>
  </si>
  <si>
    <t>Media archives</t>
  </si>
  <si>
    <t>Commercial contracts may be pursued with selected news/media organizations to access original archives; restricted originals are not redistributed publicly.</t>
  </si>
  <si>
    <t>Public sharing</t>
  </si>
  <si>
    <t>Selected cleaned documentary datasets and Python scripts may be shared publicly after publication; KII data are excluded from all public release.</t>
  </si>
  <si>
    <t>Publication</t>
  </si>
  <si>
    <t>Target publication/submission month: December 2026, with public data/GitHub preparation after final manuscript checks.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</si>
</sst>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mmm d, yyyy"/>
    <numFmt numFmtId="165" formatCode="mmm-yy"/>
  </numFmts>
  <fonts count="11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rgb="FF1F1F1F"/>
      <name val="Carlito"/>
    </font>
    <font>
      <b/>
      <sz val="10.0"/>
      <color theme="1"/>
      <name val="Carlito"/>
    </font>
    <font>
      <sz val="10.0"/>
      <color theme="1"/>
      <name val="Carlito"/>
    </font>
    <font>
      <b/>
      <sz val="11.0"/>
      <color rgb="FFFFFFFF"/>
      <name val="Carlito"/>
    </font>
    <font>
      <b/>
      <sz val="11.0"/>
      <color theme="1"/>
      <name val="Carlito"/>
    </font>
    <font>
      <b/>
      <sz val="11.0"/>
      <color rgb="FF7F6000"/>
      <name val="Carlito"/>
    </font>
    <font>
      <sz val="9.0"/>
      <color theme="1"/>
      <name val="Carlito"/>
    </font>
    <font>
      <b/>
      <sz val="12.0"/>
      <color theme="1"/>
      <name val="Carlito"/>
    </font>
    <font>
      <sz val="11.0"/>
      <color theme="1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D9E1F2"/>
        <bgColor rgb="FFD9E1F2"/>
      </patternFill>
    </fill>
    <fill>
      <patternFill patternType="solid">
        <fgColor rgb="FFFFF2CC"/>
        <bgColor rgb="FFFFF2CC"/>
      </patternFill>
    </fill>
  </fills>
  <borders count="1">
    <border/>
  </borders>
  <cellStyleXfs count="1">
    <xf borderId="0" fillId="0" fontId="0" numFmtId="0" applyAlignment="1" applyFont="1"/>
  </cellStyleXfs>
  <cellXfs count="2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/>
    </xf>
    <xf borderId="0" fillId="3" fontId="3" numFmtId="0" xfId="0" applyAlignment="1" applyFont="1">
      <alignment vertical="center"/>
    </xf>
    <xf borderId="0" fillId="4" fontId="4" numFmtId="0" xfId="0" applyAlignment="1" applyFill="1" applyFont="1">
      <alignment vertical="center"/>
    </xf>
    <xf borderId="0" fillId="4" fontId="4" numFmtId="164" xfId="0" applyAlignment="1" applyFont="1" applyNumberFormat="1">
      <alignment vertical="center"/>
    </xf>
    <xf borderId="0" fillId="2" fontId="5" numFmtId="0" xfId="0" applyAlignment="1" applyFont="1">
      <alignment horizontal="center"/>
    </xf>
    <xf borderId="0" fillId="5" fontId="6" numFmtId="0" xfId="0" applyAlignment="1" applyFill="1" applyFont="1">
      <alignment horizontal="center"/>
    </xf>
    <xf borderId="0" fillId="4" fontId="6" numFmtId="0" xfId="0" applyAlignment="1" applyFont="1">
      <alignment horizontal="center"/>
    </xf>
    <xf borderId="0" fillId="4" fontId="6" numFmtId="9" xfId="0" applyAlignment="1" applyFont="1" applyNumberFormat="1">
      <alignment horizontal="center"/>
    </xf>
    <xf borderId="0" fillId="6" fontId="7" numFmtId="0" xfId="0" applyAlignment="1" applyFill="1" applyFont="1">
      <alignment horizontal="left"/>
    </xf>
    <xf borderId="0" fillId="3" fontId="6" numFmtId="0" xfId="0" applyAlignment="1" applyFont="1">
      <alignment horizontal="center"/>
    </xf>
    <xf borderId="0" fillId="3" fontId="6" numFmtId="165" xfId="0" applyAlignment="1" applyFont="1" applyNumberFormat="1">
      <alignment horizontal="center"/>
    </xf>
    <xf borderId="0" fillId="2" fontId="5" numFmtId="0" xfId="0" applyAlignment="1" applyFont="1">
      <alignment horizontal="center" shrinkToFit="0" vertical="center" wrapText="1"/>
    </xf>
    <xf borderId="0" fillId="0" fontId="8" numFmtId="0" xfId="0" applyAlignment="1" applyFont="1">
      <alignment shrinkToFit="0" vertical="top" wrapText="1"/>
    </xf>
    <xf borderId="0" fillId="0" fontId="8" numFmtId="164" xfId="0" applyAlignment="1" applyFont="1" applyNumberFormat="1">
      <alignment shrinkToFit="0" vertical="top" wrapText="1"/>
    </xf>
    <xf borderId="0" fillId="0" fontId="8" numFmtId="1" xfId="0" applyAlignment="1" applyFont="1" applyNumberFormat="1">
      <alignment shrinkToFit="0" vertical="top" wrapText="1"/>
    </xf>
    <xf borderId="0" fillId="0" fontId="8" numFmtId="9" xfId="0" applyAlignment="1" applyFont="1" applyNumberFormat="1">
      <alignment shrinkToFit="0" vertical="top" wrapText="1"/>
    </xf>
    <xf borderId="0" fillId="0" fontId="9" numFmtId="0" xfId="0" applyAlignment="1" applyFont="1">
      <alignment horizontal="center" shrinkToFit="0" vertical="center" wrapText="1"/>
    </xf>
    <xf borderId="0" fillId="3" fontId="6" numFmtId="0" xfId="0" applyFont="1"/>
    <xf borderId="0" fillId="0" fontId="10" numFmtId="0" xfId="0" applyAlignment="1" applyFont="1">
      <alignment shrinkToFit="0" wrapText="1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006100"/>
      </font>
      <fill>
        <patternFill patternType="solid">
          <fgColor rgb="FFE2F0D9"/>
          <bgColor rgb="FFE2F0D9"/>
        </patternFill>
      </fill>
      <border/>
    </dxf>
    <dxf>
      <font>
        <b/>
        <color rgb="FF9C6500"/>
      </font>
      <fill>
        <patternFill patternType="solid">
          <fgColor rgb="FFFCE4D6"/>
          <bgColor rgb="FFFCE4D6"/>
        </patternFill>
      </fill>
      <border/>
    </dxf>
    <dxf>
      <font>
        <b/>
        <color rgb="FF1F4E78"/>
      </font>
      <fill>
        <patternFill patternType="solid">
          <fgColor rgb="FFD9EAF7"/>
          <bgColor rgb="FFD9EAF7"/>
        </patternFill>
      </fill>
      <border/>
    </dxf>
    <dxf>
      <font>
        <b/>
        <color rgb="FFC00000"/>
      </font>
      <fill>
        <patternFill patternType="solid">
          <fgColor rgb="FFF4CCCC"/>
          <bgColor rgb="FFF4CCCC"/>
        </patternFill>
      </fill>
      <border/>
    </dxf>
    <dxf>
      <font>
        <b/>
        <color rgb="FF1F4E78"/>
      </font>
      <fill>
        <patternFill patternType="solid">
          <fgColor rgb="FFBDD7EE"/>
          <bgColor rgb="FFBDD7EE"/>
        </patternFill>
      </fill>
      <border/>
    </dxf>
  </dxfs>
  <tableStyles count="1">
    <tableStyle count="3" pivot="0" name="Research Plan 2026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9:W31" displayName="Table_1" name="Table_1" id="1">
  <tableColumns count="23">
    <tableColumn name="ID" id="1"/>
    <tableColumn name="Phase" id="2"/>
    <tableColumn name="Start date" id="3"/>
    <tableColumn name="End date" id="4"/>
    <tableColumn name="Duration days" id="5"/>
    <tableColumn name="Detailed activities" id="6"/>
    <tableColumn name="Key outputs / deliverables" id="7"/>
    <tableColumn name="Ethics and data safeguards" id="8"/>
    <tableColumn name="Dependencies" id="9"/>
    <tableColumn name="Status" id="10"/>
    <tableColumn name="Progress" id="11"/>
    <tableColumn name="Owner" id="12"/>
    <tableColumn name="Mar" id="13"/>
    <tableColumn name="Apr" id="14"/>
    <tableColumn name="May" id="15"/>
    <tableColumn name="Jun" id="16"/>
    <tableColumn name="Jul" id="17"/>
    <tableColumn name="Aug" id="18"/>
    <tableColumn name="Sep" id="19"/>
    <tableColumn name="Oct" id="20"/>
    <tableColumn name="Nov" id="21"/>
    <tableColumn name="Dec" id="22"/>
    <tableColumn name="Notes" id="23"/>
  </tableColumns>
  <tableStyleInfo name="Research Plan 2026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25"/>
    <col customWidth="1" min="2" max="2" width="28.0"/>
    <col customWidth="1" min="3" max="4" width="12.0"/>
    <col customWidth="1" min="5" max="5" width="11.0"/>
    <col customWidth="1" min="6" max="6" width="38.0"/>
    <col customWidth="1" min="7" max="8" width="34.0"/>
    <col customWidth="1" min="9" max="9" width="25.0"/>
    <col customWidth="1" min="10" max="10" width="14.0"/>
    <col customWidth="1" min="11" max="11" width="10.0"/>
    <col customWidth="1" min="12" max="12" width="12.0"/>
    <col customWidth="1" min="13" max="22" width="5.0"/>
    <col customWidth="1" min="23" max="23" width="30.0"/>
    <col customWidth="1" min="24" max="26" width="8.63"/>
  </cols>
  <sheetData>
    <row r="1" ht="30.0" customHeight="1">
      <c r="A1" s="1" t="s">
        <v>0</v>
      </c>
    </row>
    <row r="2">
      <c r="A2" s="2" t="s">
        <v>1</v>
      </c>
    </row>
    <row r="4">
      <c r="A4" s="3" t="s">
        <v>2</v>
      </c>
      <c r="B4" s="4" t="s">
        <v>3</v>
      </c>
      <c r="C4" s="3" t="s">
        <v>4</v>
      </c>
      <c r="D4" s="4" t="s">
        <v>5</v>
      </c>
      <c r="E4" s="3" t="s">
        <v>6</v>
      </c>
      <c r="F4" s="5">
        <v>46371.0</v>
      </c>
      <c r="H4" s="6" t="s">
        <v>7</v>
      </c>
    </row>
    <row r="5">
      <c r="A5" s="3" t="s">
        <v>8</v>
      </c>
      <c r="B5" s="4" t="s">
        <v>9</v>
      </c>
      <c r="C5" s="3" t="s">
        <v>10</v>
      </c>
      <c r="D5" s="4" t="s">
        <v>11</v>
      </c>
      <c r="E5" s="3" t="s">
        <v>12</v>
      </c>
      <c r="F5" s="4" t="s">
        <v>13</v>
      </c>
      <c r="H5" s="7" t="s">
        <v>14</v>
      </c>
      <c r="I5" s="7" t="s">
        <v>15</v>
      </c>
      <c r="J5" s="7" t="s">
        <v>16</v>
      </c>
      <c r="K5" s="7" t="s">
        <v>17</v>
      </c>
      <c r="L5" s="7" t="s">
        <v>18</v>
      </c>
      <c r="M5" s="7" t="s">
        <v>19</v>
      </c>
      <c r="N5" s="7" t="s">
        <v>20</v>
      </c>
      <c r="O5" s="7" t="s">
        <v>21</v>
      </c>
      <c r="P5" s="7" t="s">
        <v>22</v>
      </c>
    </row>
    <row r="6">
      <c r="A6" s="3" t="s">
        <v>23</v>
      </c>
      <c r="B6" s="4" t="s">
        <v>24</v>
      </c>
      <c r="C6" s="3" t="s">
        <v>25</v>
      </c>
      <c r="D6" s="4" t="s">
        <v>26</v>
      </c>
      <c r="E6" s="3" t="s">
        <v>27</v>
      </c>
      <c r="F6" s="4" t="s">
        <v>28</v>
      </c>
      <c r="H6" s="8">
        <f>COUNTA(A10:A31)</f>
        <v>22</v>
      </c>
      <c r="I6" s="8">
        <f>COUNTIF(J10:J31,"Completed")</f>
        <v>3</v>
      </c>
      <c r="J6" s="8">
        <f>COUNTIF(J10:J31,"In progress")</f>
        <v>2</v>
      </c>
      <c r="K6" s="8">
        <f>COUNTIF(J10:J31,"Planned")</f>
        <v>17</v>
      </c>
      <c r="L6" s="8">
        <f>COUNTIF(J10:J31,"Delayed")</f>
        <v>0</v>
      </c>
      <c r="M6" s="9">
        <f>AVERAGE(K10:K31)</f>
        <v>0.1818181818</v>
      </c>
      <c r="N6" s="8" t="s">
        <v>29</v>
      </c>
      <c r="O6" s="8" t="s">
        <v>26</v>
      </c>
      <c r="P6" s="8" t="s">
        <v>30</v>
      </c>
    </row>
    <row r="8">
      <c r="A8" s="10" t="s">
        <v>31</v>
      </c>
      <c r="L8" s="11" t="s">
        <v>32</v>
      </c>
      <c r="M8" s="12">
        <v>46082.0</v>
      </c>
      <c r="N8" s="12">
        <v>46113.0</v>
      </c>
      <c r="O8" s="12">
        <v>46143.0</v>
      </c>
      <c r="P8" s="12">
        <v>46174.0</v>
      </c>
      <c r="Q8" s="12">
        <v>46204.0</v>
      </c>
      <c r="R8" s="12">
        <v>46235.0</v>
      </c>
      <c r="S8" s="12">
        <v>46266.0</v>
      </c>
      <c r="T8" s="12">
        <v>46296.0</v>
      </c>
      <c r="U8" s="12">
        <v>46327.0</v>
      </c>
      <c r="V8" s="12">
        <v>46357.0</v>
      </c>
    </row>
    <row r="9" ht="42.0" customHeight="1">
      <c r="A9" s="13" t="s">
        <v>33</v>
      </c>
      <c r="B9" s="13" t="s">
        <v>34</v>
      </c>
      <c r="C9" s="13" t="s">
        <v>35</v>
      </c>
      <c r="D9" s="13" t="s">
        <v>36</v>
      </c>
      <c r="E9" s="13" t="s">
        <v>37</v>
      </c>
      <c r="F9" s="13" t="s">
        <v>38</v>
      </c>
      <c r="G9" s="13" t="s">
        <v>39</v>
      </c>
      <c r="H9" s="13" t="s">
        <v>40</v>
      </c>
      <c r="I9" s="13" t="s">
        <v>41</v>
      </c>
      <c r="J9" s="13" t="s">
        <v>42</v>
      </c>
      <c r="K9" s="13" t="s">
        <v>43</v>
      </c>
      <c r="L9" s="13" t="s">
        <v>44</v>
      </c>
      <c r="M9" s="13" t="s">
        <v>45</v>
      </c>
      <c r="N9" s="13" t="s">
        <v>46</v>
      </c>
      <c r="O9" s="13" t="s">
        <v>47</v>
      </c>
      <c r="P9" s="13" t="s">
        <v>48</v>
      </c>
      <c r="Q9" s="13" t="s">
        <v>49</v>
      </c>
      <c r="R9" s="13" t="s">
        <v>50</v>
      </c>
      <c r="S9" s="13" t="s">
        <v>51</v>
      </c>
      <c r="T9" s="13" t="s">
        <v>52</v>
      </c>
      <c r="U9" s="13" t="s">
        <v>53</v>
      </c>
      <c r="V9" s="13" t="s">
        <v>54</v>
      </c>
      <c r="W9" s="13" t="s">
        <v>55</v>
      </c>
    </row>
    <row r="10" ht="57.75" customHeight="1">
      <c r="A10" s="14" t="s">
        <v>56</v>
      </c>
      <c r="B10" s="14" t="s">
        <v>57</v>
      </c>
      <c r="C10" s="15">
        <v>46082.0</v>
      </c>
      <c r="D10" s="15">
        <v>46112.0</v>
      </c>
      <c r="E10" s="16">
        <f t="shared" ref="E10:E31" si="2">D10-C10+1</f>
        <v>31</v>
      </c>
      <c r="F10" s="14" t="s">
        <v>58</v>
      </c>
      <c r="G10" s="14" t="s">
        <v>59</v>
      </c>
      <c r="H10" s="14" t="s">
        <v>60</v>
      </c>
      <c r="I10" s="14" t="s">
        <v>61</v>
      </c>
      <c r="J10" s="14" t="s">
        <v>15</v>
      </c>
      <c r="K10" s="17">
        <v>1.0</v>
      </c>
      <c r="L10" s="14" t="s">
        <v>2</v>
      </c>
      <c r="M10" s="18" t="str">
        <f t="shared" ref="M10:V10" si="1">IF(AND($C10&lt;=EOMONTH(M$8,0),$D10&gt;=M$8),"■","")</f>
        <v>■</v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  <c r="R10" s="18" t="str">
        <f t="shared" si="1"/>
        <v/>
      </c>
      <c r="S10" s="18" t="str">
        <f t="shared" si="1"/>
        <v/>
      </c>
      <c r="T10" s="18" t="str">
        <f t="shared" si="1"/>
        <v/>
      </c>
      <c r="U10" s="18" t="str">
        <f t="shared" si="1"/>
        <v/>
      </c>
      <c r="V10" s="18" t="str">
        <f t="shared" si="1"/>
        <v/>
      </c>
      <c r="W10" s="14" t="s">
        <v>62</v>
      </c>
    </row>
    <row r="11" ht="57.75" customHeight="1">
      <c r="A11" s="14" t="s">
        <v>63</v>
      </c>
      <c r="B11" s="14" t="s">
        <v>57</v>
      </c>
      <c r="C11" s="15">
        <v>46113.0</v>
      </c>
      <c r="D11" s="15">
        <v>46142.0</v>
      </c>
      <c r="E11" s="16">
        <f t="shared" si="2"/>
        <v>30</v>
      </c>
      <c r="F11" s="14" t="s">
        <v>64</v>
      </c>
      <c r="G11" s="14" t="s">
        <v>65</v>
      </c>
      <c r="H11" s="14" t="s">
        <v>66</v>
      </c>
      <c r="I11" s="14" t="s">
        <v>67</v>
      </c>
      <c r="J11" s="14" t="s">
        <v>15</v>
      </c>
      <c r="K11" s="17">
        <v>1.0</v>
      </c>
      <c r="L11" s="14" t="s">
        <v>2</v>
      </c>
      <c r="M11" s="18" t="str">
        <f t="shared" ref="M11:V11" si="3">IF(AND($C11&lt;=EOMONTH(M$8,0),$D11&gt;=M$8),"■","")</f>
        <v/>
      </c>
      <c r="N11" s="18" t="str">
        <f t="shared" si="3"/>
        <v>■</v>
      </c>
      <c r="O11" s="18" t="str">
        <f t="shared" si="3"/>
        <v/>
      </c>
      <c r="P11" s="18" t="str">
        <f t="shared" si="3"/>
        <v/>
      </c>
      <c r="Q11" s="18" t="str">
        <f t="shared" si="3"/>
        <v/>
      </c>
      <c r="R11" s="18" t="str">
        <f t="shared" si="3"/>
        <v/>
      </c>
      <c r="S11" s="18" t="str">
        <f t="shared" si="3"/>
        <v/>
      </c>
      <c r="T11" s="18" t="str">
        <f t="shared" si="3"/>
        <v/>
      </c>
      <c r="U11" s="18" t="str">
        <f t="shared" si="3"/>
        <v/>
      </c>
      <c r="V11" s="18" t="str">
        <f t="shared" si="3"/>
        <v/>
      </c>
      <c r="W11" s="14" t="s">
        <v>68</v>
      </c>
    </row>
    <row r="12" ht="57.75" customHeight="1">
      <c r="A12" s="14" t="s">
        <v>69</v>
      </c>
      <c r="B12" s="14" t="s">
        <v>57</v>
      </c>
      <c r="C12" s="15">
        <v>46143.0</v>
      </c>
      <c r="D12" s="15">
        <v>46173.0</v>
      </c>
      <c r="E12" s="16">
        <f t="shared" si="2"/>
        <v>31</v>
      </c>
      <c r="F12" s="14" t="s">
        <v>70</v>
      </c>
      <c r="G12" s="14" t="s">
        <v>71</v>
      </c>
      <c r="H12" s="14" t="s">
        <v>72</v>
      </c>
      <c r="I12" s="14" t="s">
        <v>73</v>
      </c>
      <c r="J12" s="14" t="s">
        <v>15</v>
      </c>
      <c r="K12" s="17">
        <v>1.0</v>
      </c>
      <c r="L12" s="14" t="s">
        <v>2</v>
      </c>
      <c r="M12" s="18" t="str">
        <f t="shared" ref="M12:V12" si="4">IF(AND($C12&lt;=EOMONTH(M$8,0),$D12&gt;=M$8),"■","")</f>
        <v/>
      </c>
      <c r="N12" s="18" t="str">
        <f t="shared" si="4"/>
        <v/>
      </c>
      <c r="O12" s="18" t="str">
        <f t="shared" si="4"/>
        <v>■</v>
      </c>
      <c r="P12" s="18" t="str">
        <f t="shared" si="4"/>
        <v/>
      </c>
      <c r="Q12" s="18" t="str">
        <f t="shared" si="4"/>
        <v/>
      </c>
      <c r="R12" s="18" t="str">
        <f t="shared" si="4"/>
        <v/>
      </c>
      <c r="S12" s="18" t="str">
        <f t="shared" si="4"/>
        <v/>
      </c>
      <c r="T12" s="18" t="str">
        <f t="shared" si="4"/>
        <v/>
      </c>
      <c r="U12" s="18" t="str">
        <f t="shared" si="4"/>
        <v/>
      </c>
      <c r="V12" s="18" t="str">
        <f t="shared" si="4"/>
        <v/>
      </c>
      <c r="W12" s="14" t="s">
        <v>74</v>
      </c>
    </row>
    <row r="13" ht="57.75" customHeight="1">
      <c r="A13" s="14" t="s">
        <v>75</v>
      </c>
      <c r="B13" s="14" t="s">
        <v>76</v>
      </c>
      <c r="C13" s="15">
        <v>46174.0</v>
      </c>
      <c r="D13" s="15">
        <v>46188.0</v>
      </c>
      <c r="E13" s="16">
        <f t="shared" si="2"/>
        <v>15</v>
      </c>
      <c r="F13" s="14" t="s">
        <v>77</v>
      </c>
      <c r="G13" s="14" t="s">
        <v>78</v>
      </c>
      <c r="H13" s="14" t="s">
        <v>79</v>
      </c>
      <c r="I13" s="14" t="s">
        <v>80</v>
      </c>
      <c r="J13" s="14" t="s">
        <v>16</v>
      </c>
      <c r="K13" s="17">
        <v>0.55</v>
      </c>
      <c r="L13" s="14" t="s">
        <v>2</v>
      </c>
      <c r="M13" s="18" t="str">
        <f t="shared" ref="M13:V13" si="5">IF(AND($C13&lt;=EOMONTH(M$8,0),$D13&gt;=M$8),"■","")</f>
        <v/>
      </c>
      <c r="N13" s="18" t="str">
        <f t="shared" si="5"/>
        <v/>
      </c>
      <c r="O13" s="18" t="str">
        <f t="shared" si="5"/>
        <v/>
      </c>
      <c r="P13" s="18" t="str">
        <f t="shared" si="5"/>
        <v>■</v>
      </c>
      <c r="Q13" s="18" t="str">
        <f t="shared" si="5"/>
        <v/>
      </c>
      <c r="R13" s="18" t="str">
        <f t="shared" si="5"/>
        <v/>
      </c>
      <c r="S13" s="18" t="str">
        <f t="shared" si="5"/>
        <v/>
      </c>
      <c r="T13" s="18" t="str">
        <f t="shared" si="5"/>
        <v/>
      </c>
      <c r="U13" s="18" t="str">
        <f t="shared" si="5"/>
        <v/>
      </c>
      <c r="V13" s="18" t="str">
        <f t="shared" si="5"/>
        <v/>
      </c>
      <c r="W13" s="14" t="s">
        <v>81</v>
      </c>
    </row>
    <row r="14" ht="57.75" customHeight="1">
      <c r="A14" s="14" t="s">
        <v>82</v>
      </c>
      <c r="B14" s="14" t="s">
        <v>76</v>
      </c>
      <c r="C14" s="15">
        <v>46189.0</v>
      </c>
      <c r="D14" s="15">
        <v>46203.0</v>
      </c>
      <c r="E14" s="16">
        <f t="shared" si="2"/>
        <v>15</v>
      </c>
      <c r="F14" s="14" t="s">
        <v>83</v>
      </c>
      <c r="G14" s="14" t="s">
        <v>84</v>
      </c>
      <c r="H14" s="14" t="s">
        <v>85</v>
      </c>
      <c r="I14" s="14" t="s">
        <v>86</v>
      </c>
      <c r="J14" s="14" t="s">
        <v>16</v>
      </c>
      <c r="K14" s="17">
        <v>0.45</v>
      </c>
      <c r="L14" s="14" t="s">
        <v>2</v>
      </c>
      <c r="M14" s="18" t="str">
        <f t="shared" ref="M14:V14" si="6">IF(AND($C14&lt;=EOMONTH(M$8,0),$D14&gt;=M$8),"■","")</f>
        <v/>
      </c>
      <c r="N14" s="18" t="str">
        <f t="shared" si="6"/>
        <v/>
      </c>
      <c r="O14" s="18" t="str">
        <f t="shared" si="6"/>
        <v/>
      </c>
      <c r="P14" s="18" t="str">
        <f t="shared" si="6"/>
        <v>■</v>
      </c>
      <c r="Q14" s="18" t="str">
        <f t="shared" si="6"/>
        <v/>
      </c>
      <c r="R14" s="18" t="str">
        <f t="shared" si="6"/>
        <v/>
      </c>
      <c r="S14" s="18" t="str">
        <f t="shared" si="6"/>
        <v/>
      </c>
      <c r="T14" s="18" t="str">
        <f t="shared" si="6"/>
        <v/>
      </c>
      <c r="U14" s="18" t="str">
        <f t="shared" si="6"/>
        <v/>
      </c>
      <c r="V14" s="18" t="str">
        <f t="shared" si="6"/>
        <v/>
      </c>
      <c r="W14" s="14" t="s">
        <v>87</v>
      </c>
    </row>
    <row r="15" ht="57.75" customHeight="1">
      <c r="A15" s="14" t="s">
        <v>88</v>
      </c>
      <c r="B15" s="14" t="s">
        <v>76</v>
      </c>
      <c r="C15" s="15">
        <v>46204.0</v>
      </c>
      <c r="D15" s="15">
        <v>46218.0</v>
      </c>
      <c r="E15" s="16">
        <f t="shared" si="2"/>
        <v>15</v>
      </c>
      <c r="F15" s="14" t="s">
        <v>89</v>
      </c>
      <c r="G15" s="14" t="s">
        <v>90</v>
      </c>
      <c r="H15" s="14" t="s">
        <v>91</v>
      </c>
      <c r="I15" s="14" t="s">
        <v>92</v>
      </c>
      <c r="J15" s="14" t="s">
        <v>17</v>
      </c>
      <c r="K15" s="17">
        <v>0.0</v>
      </c>
      <c r="L15" s="14" t="s">
        <v>2</v>
      </c>
      <c r="M15" s="18" t="str">
        <f t="shared" ref="M15:V15" si="7">IF(AND($C15&lt;=EOMONTH(M$8,0),$D15&gt;=M$8),"■","")</f>
        <v/>
      </c>
      <c r="N15" s="18" t="str">
        <f t="shared" si="7"/>
        <v/>
      </c>
      <c r="O15" s="18" t="str">
        <f t="shared" si="7"/>
        <v/>
      </c>
      <c r="P15" s="18" t="str">
        <f t="shared" si="7"/>
        <v/>
      </c>
      <c r="Q15" s="18" t="str">
        <f t="shared" si="7"/>
        <v>■</v>
      </c>
      <c r="R15" s="18" t="str">
        <f t="shared" si="7"/>
        <v/>
      </c>
      <c r="S15" s="18" t="str">
        <f t="shared" si="7"/>
        <v/>
      </c>
      <c r="T15" s="18" t="str">
        <f t="shared" si="7"/>
        <v/>
      </c>
      <c r="U15" s="18" t="str">
        <f t="shared" si="7"/>
        <v/>
      </c>
      <c r="V15" s="18" t="str">
        <f t="shared" si="7"/>
        <v/>
      </c>
      <c r="W15" s="14" t="s">
        <v>93</v>
      </c>
    </row>
    <row r="16" ht="57.75" customHeight="1">
      <c r="A16" s="14" t="s">
        <v>94</v>
      </c>
      <c r="B16" s="14" t="s">
        <v>76</v>
      </c>
      <c r="C16" s="15">
        <v>46219.0</v>
      </c>
      <c r="D16" s="15">
        <v>46234.0</v>
      </c>
      <c r="E16" s="16">
        <f t="shared" si="2"/>
        <v>16</v>
      </c>
      <c r="F16" s="14" t="s">
        <v>95</v>
      </c>
      <c r="G16" s="14" t="s">
        <v>96</v>
      </c>
      <c r="H16" s="14" t="s">
        <v>97</v>
      </c>
      <c r="I16" s="14" t="s">
        <v>98</v>
      </c>
      <c r="J16" s="14" t="s">
        <v>17</v>
      </c>
      <c r="K16" s="17">
        <v>0.0</v>
      </c>
      <c r="L16" s="14" t="s">
        <v>2</v>
      </c>
      <c r="M16" s="18" t="str">
        <f t="shared" ref="M16:V16" si="8">IF(AND($C16&lt;=EOMONTH(M$8,0),$D16&gt;=M$8),"■","")</f>
        <v/>
      </c>
      <c r="N16" s="18" t="str">
        <f t="shared" si="8"/>
        <v/>
      </c>
      <c r="O16" s="18" t="str">
        <f t="shared" si="8"/>
        <v/>
      </c>
      <c r="P16" s="18" t="str">
        <f t="shared" si="8"/>
        <v/>
      </c>
      <c r="Q16" s="18" t="str">
        <f t="shared" si="8"/>
        <v>■</v>
      </c>
      <c r="R16" s="18" t="str">
        <f t="shared" si="8"/>
        <v/>
      </c>
      <c r="S16" s="18" t="str">
        <f t="shared" si="8"/>
        <v/>
      </c>
      <c r="T16" s="18" t="str">
        <f t="shared" si="8"/>
        <v/>
      </c>
      <c r="U16" s="18" t="str">
        <f t="shared" si="8"/>
        <v/>
      </c>
      <c r="V16" s="18" t="str">
        <f t="shared" si="8"/>
        <v/>
      </c>
      <c r="W16" s="14" t="s">
        <v>99</v>
      </c>
    </row>
    <row r="17" ht="57.75" customHeight="1">
      <c r="A17" s="14" t="s">
        <v>100</v>
      </c>
      <c r="B17" s="14" t="s">
        <v>101</v>
      </c>
      <c r="C17" s="15">
        <v>46235.0</v>
      </c>
      <c r="D17" s="15">
        <v>46244.0</v>
      </c>
      <c r="E17" s="16">
        <f t="shared" si="2"/>
        <v>10</v>
      </c>
      <c r="F17" s="14" t="s">
        <v>102</v>
      </c>
      <c r="G17" s="14" t="s">
        <v>103</v>
      </c>
      <c r="H17" s="14" t="s">
        <v>104</v>
      </c>
      <c r="I17" s="14" t="s">
        <v>105</v>
      </c>
      <c r="J17" s="14" t="s">
        <v>17</v>
      </c>
      <c r="K17" s="17">
        <v>0.0</v>
      </c>
      <c r="L17" s="14" t="s">
        <v>2</v>
      </c>
      <c r="M17" s="18" t="str">
        <f t="shared" ref="M17:V17" si="9">IF(AND($C17&lt;=EOMONTH(M$8,0),$D17&gt;=M$8),"■","")</f>
        <v/>
      </c>
      <c r="N17" s="18" t="str">
        <f t="shared" si="9"/>
        <v/>
      </c>
      <c r="O17" s="18" t="str">
        <f t="shared" si="9"/>
        <v/>
      </c>
      <c r="P17" s="18" t="str">
        <f t="shared" si="9"/>
        <v/>
      </c>
      <c r="Q17" s="18" t="str">
        <f t="shared" si="9"/>
        <v/>
      </c>
      <c r="R17" s="18" t="str">
        <f t="shared" si="9"/>
        <v>■</v>
      </c>
      <c r="S17" s="18" t="str">
        <f t="shared" si="9"/>
        <v/>
      </c>
      <c r="T17" s="18" t="str">
        <f t="shared" si="9"/>
        <v/>
      </c>
      <c r="U17" s="18" t="str">
        <f t="shared" si="9"/>
        <v/>
      </c>
      <c r="V17" s="18" t="str">
        <f t="shared" si="9"/>
        <v/>
      </c>
      <c r="W17" s="14" t="s">
        <v>106</v>
      </c>
    </row>
    <row r="18" ht="57.75" customHeight="1">
      <c r="A18" s="14" t="s">
        <v>107</v>
      </c>
      <c r="B18" s="14" t="s">
        <v>101</v>
      </c>
      <c r="C18" s="15">
        <v>46245.0</v>
      </c>
      <c r="D18" s="15">
        <v>46254.0</v>
      </c>
      <c r="E18" s="16">
        <f t="shared" si="2"/>
        <v>10</v>
      </c>
      <c r="F18" s="14" t="s">
        <v>108</v>
      </c>
      <c r="G18" s="14" t="s">
        <v>109</v>
      </c>
      <c r="H18" s="14" t="s">
        <v>110</v>
      </c>
      <c r="I18" s="14" t="s">
        <v>111</v>
      </c>
      <c r="J18" s="14" t="s">
        <v>17</v>
      </c>
      <c r="K18" s="17">
        <v>0.0</v>
      </c>
      <c r="L18" s="14" t="s">
        <v>2</v>
      </c>
      <c r="M18" s="18" t="str">
        <f t="shared" ref="M18:V18" si="10">IF(AND($C18&lt;=EOMONTH(M$8,0),$D18&gt;=M$8),"■","")</f>
        <v/>
      </c>
      <c r="N18" s="18" t="str">
        <f t="shared" si="10"/>
        <v/>
      </c>
      <c r="O18" s="18" t="str">
        <f t="shared" si="10"/>
        <v/>
      </c>
      <c r="P18" s="18" t="str">
        <f t="shared" si="10"/>
        <v/>
      </c>
      <c r="Q18" s="18" t="str">
        <f t="shared" si="10"/>
        <v/>
      </c>
      <c r="R18" s="18" t="str">
        <f t="shared" si="10"/>
        <v>■</v>
      </c>
      <c r="S18" s="18" t="str">
        <f t="shared" si="10"/>
        <v/>
      </c>
      <c r="T18" s="18" t="str">
        <f t="shared" si="10"/>
        <v/>
      </c>
      <c r="U18" s="18" t="str">
        <f t="shared" si="10"/>
        <v/>
      </c>
      <c r="V18" s="18" t="str">
        <f t="shared" si="10"/>
        <v/>
      </c>
      <c r="W18" s="14" t="s">
        <v>112</v>
      </c>
    </row>
    <row r="19" ht="57.75" customHeight="1">
      <c r="A19" s="14" t="s">
        <v>113</v>
      </c>
      <c r="B19" s="14" t="s">
        <v>101</v>
      </c>
      <c r="C19" s="15">
        <v>46255.0</v>
      </c>
      <c r="D19" s="15">
        <v>46265.0</v>
      </c>
      <c r="E19" s="16">
        <f t="shared" si="2"/>
        <v>11</v>
      </c>
      <c r="F19" s="14" t="s">
        <v>114</v>
      </c>
      <c r="G19" s="14" t="s">
        <v>115</v>
      </c>
      <c r="H19" s="14" t="s">
        <v>116</v>
      </c>
      <c r="I19" s="14" t="s">
        <v>117</v>
      </c>
      <c r="J19" s="14" t="s">
        <v>17</v>
      </c>
      <c r="K19" s="17">
        <v>0.0</v>
      </c>
      <c r="L19" s="14" t="s">
        <v>2</v>
      </c>
      <c r="M19" s="18" t="str">
        <f t="shared" ref="M19:V19" si="11">IF(AND($C19&lt;=EOMONTH(M$8,0),$D19&gt;=M$8),"■","")</f>
        <v/>
      </c>
      <c r="N19" s="18" t="str">
        <f t="shared" si="11"/>
        <v/>
      </c>
      <c r="O19" s="18" t="str">
        <f t="shared" si="11"/>
        <v/>
      </c>
      <c r="P19" s="18" t="str">
        <f t="shared" si="11"/>
        <v/>
      </c>
      <c r="Q19" s="18" t="str">
        <f t="shared" si="11"/>
        <v/>
      </c>
      <c r="R19" s="18" t="str">
        <f t="shared" si="11"/>
        <v>■</v>
      </c>
      <c r="S19" s="18" t="str">
        <f t="shared" si="11"/>
        <v/>
      </c>
      <c r="T19" s="18" t="str">
        <f t="shared" si="11"/>
        <v/>
      </c>
      <c r="U19" s="18" t="str">
        <f t="shared" si="11"/>
        <v/>
      </c>
      <c r="V19" s="18" t="str">
        <f t="shared" si="11"/>
        <v/>
      </c>
      <c r="W19" s="14" t="s">
        <v>118</v>
      </c>
    </row>
    <row r="20" ht="57.75" customHeight="1">
      <c r="A20" s="14" t="s">
        <v>119</v>
      </c>
      <c r="B20" s="14" t="s">
        <v>120</v>
      </c>
      <c r="C20" s="15">
        <v>46266.0</v>
      </c>
      <c r="D20" s="15">
        <v>46275.0</v>
      </c>
      <c r="E20" s="16">
        <f t="shared" si="2"/>
        <v>10</v>
      </c>
      <c r="F20" s="14" t="s">
        <v>121</v>
      </c>
      <c r="G20" s="14" t="s">
        <v>122</v>
      </c>
      <c r="H20" s="14" t="s">
        <v>123</v>
      </c>
      <c r="I20" s="14" t="s">
        <v>124</v>
      </c>
      <c r="J20" s="14" t="s">
        <v>17</v>
      </c>
      <c r="K20" s="17">
        <v>0.0</v>
      </c>
      <c r="L20" s="14" t="s">
        <v>2</v>
      </c>
      <c r="M20" s="18" t="str">
        <f t="shared" ref="M20:V20" si="12">IF(AND($C20&lt;=EOMONTH(M$8,0),$D20&gt;=M$8),"■","")</f>
        <v/>
      </c>
      <c r="N20" s="18" t="str">
        <f t="shared" si="12"/>
        <v/>
      </c>
      <c r="O20" s="18" t="str">
        <f t="shared" si="12"/>
        <v/>
      </c>
      <c r="P20" s="18" t="str">
        <f t="shared" si="12"/>
        <v/>
      </c>
      <c r="Q20" s="18" t="str">
        <f t="shared" si="12"/>
        <v/>
      </c>
      <c r="R20" s="18" t="str">
        <f t="shared" si="12"/>
        <v/>
      </c>
      <c r="S20" s="18" t="str">
        <f t="shared" si="12"/>
        <v>■</v>
      </c>
      <c r="T20" s="18" t="str">
        <f t="shared" si="12"/>
        <v/>
      </c>
      <c r="U20" s="18" t="str">
        <f t="shared" si="12"/>
        <v/>
      </c>
      <c r="V20" s="18" t="str">
        <f t="shared" si="12"/>
        <v/>
      </c>
      <c r="W20" s="14" t="s">
        <v>125</v>
      </c>
    </row>
    <row r="21" ht="57.75" customHeight="1">
      <c r="A21" s="14" t="s">
        <v>126</v>
      </c>
      <c r="B21" s="14" t="s">
        <v>120</v>
      </c>
      <c r="C21" s="15">
        <v>46276.0</v>
      </c>
      <c r="D21" s="15">
        <v>46285.0</v>
      </c>
      <c r="E21" s="16">
        <f t="shared" si="2"/>
        <v>10</v>
      </c>
      <c r="F21" s="14" t="s">
        <v>127</v>
      </c>
      <c r="G21" s="14" t="s">
        <v>128</v>
      </c>
      <c r="H21" s="14" t="s">
        <v>129</v>
      </c>
      <c r="I21" s="14" t="s">
        <v>130</v>
      </c>
      <c r="J21" s="14" t="s">
        <v>17</v>
      </c>
      <c r="K21" s="17">
        <v>0.0</v>
      </c>
      <c r="L21" s="14" t="s">
        <v>2</v>
      </c>
      <c r="M21" s="18" t="str">
        <f t="shared" ref="M21:V21" si="13">IF(AND($C21&lt;=EOMONTH(M$8,0),$D21&gt;=M$8),"■","")</f>
        <v/>
      </c>
      <c r="N21" s="18" t="str">
        <f t="shared" si="13"/>
        <v/>
      </c>
      <c r="O21" s="18" t="str">
        <f t="shared" si="13"/>
        <v/>
      </c>
      <c r="P21" s="18" t="str">
        <f t="shared" si="13"/>
        <v/>
      </c>
      <c r="Q21" s="18" t="str">
        <f t="shared" si="13"/>
        <v/>
      </c>
      <c r="R21" s="18" t="str">
        <f t="shared" si="13"/>
        <v/>
      </c>
      <c r="S21" s="18" t="str">
        <f t="shared" si="13"/>
        <v>■</v>
      </c>
      <c r="T21" s="18" t="str">
        <f t="shared" si="13"/>
        <v/>
      </c>
      <c r="U21" s="18" t="str">
        <f t="shared" si="13"/>
        <v/>
      </c>
      <c r="V21" s="18" t="str">
        <f t="shared" si="13"/>
        <v/>
      </c>
      <c r="W21" s="14" t="s">
        <v>131</v>
      </c>
    </row>
    <row r="22" ht="57.75" customHeight="1">
      <c r="A22" s="14" t="s">
        <v>132</v>
      </c>
      <c r="B22" s="14" t="s">
        <v>120</v>
      </c>
      <c r="C22" s="15">
        <v>46286.0</v>
      </c>
      <c r="D22" s="15">
        <v>46295.0</v>
      </c>
      <c r="E22" s="16">
        <f t="shared" si="2"/>
        <v>10</v>
      </c>
      <c r="F22" s="14" t="s">
        <v>133</v>
      </c>
      <c r="G22" s="14" t="s">
        <v>134</v>
      </c>
      <c r="H22" s="14" t="s">
        <v>135</v>
      </c>
      <c r="I22" s="14" t="s">
        <v>136</v>
      </c>
      <c r="J22" s="14" t="s">
        <v>17</v>
      </c>
      <c r="K22" s="17">
        <v>0.0</v>
      </c>
      <c r="L22" s="14" t="s">
        <v>2</v>
      </c>
      <c r="M22" s="18" t="str">
        <f t="shared" ref="M22:V22" si="14">IF(AND($C22&lt;=EOMONTH(M$8,0),$D22&gt;=M$8),"■","")</f>
        <v/>
      </c>
      <c r="N22" s="18" t="str">
        <f t="shared" si="14"/>
        <v/>
      </c>
      <c r="O22" s="18" t="str">
        <f t="shared" si="14"/>
        <v/>
      </c>
      <c r="P22" s="18" t="str">
        <f t="shared" si="14"/>
        <v/>
      </c>
      <c r="Q22" s="18" t="str">
        <f t="shared" si="14"/>
        <v/>
      </c>
      <c r="R22" s="18" t="str">
        <f t="shared" si="14"/>
        <v/>
      </c>
      <c r="S22" s="18" t="str">
        <f t="shared" si="14"/>
        <v>■</v>
      </c>
      <c r="T22" s="18" t="str">
        <f t="shared" si="14"/>
        <v/>
      </c>
      <c r="U22" s="18" t="str">
        <f t="shared" si="14"/>
        <v/>
      </c>
      <c r="V22" s="18" t="str">
        <f t="shared" si="14"/>
        <v/>
      </c>
      <c r="W22" s="14" t="s">
        <v>137</v>
      </c>
    </row>
    <row r="23" ht="57.75" customHeight="1">
      <c r="A23" s="14" t="s">
        <v>138</v>
      </c>
      <c r="B23" s="14" t="s">
        <v>139</v>
      </c>
      <c r="C23" s="15">
        <v>46296.0</v>
      </c>
      <c r="D23" s="15">
        <v>46305.0</v>
      </c>
      <c r="E23" s="16">
        <f t="shared" si="2"/>
        <v>10</v>
      </c>
      <c r="F23" s="14" t="s">
        <v>140</v>
      </c>
      <c r="G23" s="14" t="s">
        <v>141</v>
      </c>
      <c r="H23" s="14" t="s">
        <v>142</v>
      </c>
      <c r="I23" s="14" t="s">
        <v>143</v>
      </c>
      <c r="J23" s="14" t="s">
        <v>17</v>
      </c>
      <c r="K23" s="17">
        <v>0.0</v>
      </c>
      <c r="L23" s="14" t="s">
        <v>2</v>
      </c>
      <c r="M23" s="18" t="str">
        <f t="shared" ref="M23:V23" si="15">IF(AND($C23&lt;=EOMONTH(M$8,0),$D23&gt;=M$8),"■","")</f>
        <v/>
      </c>
      <c r="N23" s="18" t="str">
        <f t="shared" si="15"/>
        <v/>
      </c>
      <c r="O23" s="18" t="str">
        <f t="shared" si="15"/>
        <v/>
      </c>
      <c r="P23" s="18" t="str">
        <f t="shared" si="15"/>
        <v/>
      </c>
      <c r="Q23" s="18" t="str">
        <f t="shared" si="15"/>
        <v/>
      </c>
      <c r="R23" s="18" t="str">
        <f t="shared" si="15"/>
        <v/>
      </c>
      <c r="S23" s="18" t="str">
        <f t="shared" si="15"/>
        <v/>
      </c>
      <c r="T23" s="18" t="str">
        <f t="shared" si="15"/>
        <v>■</v>
      </c>
      <c r="U23" s="18" t="str">
        <f t="shared" si="15"/>
        <v/>
      </c>
      <c r="V23" s="18" t="str">
        <f t="shared" si="15"/>
        <v/>
      </c>
      <c r="W23" s="14" t="s">
        <v>144</v>
      </c>
    </row>
    <row r="24" ht="57.75" customHeight="1">
      <c r="A24" s="14" t="s">
        <v>145</v>
      </c>
      <c r="B24" s="14" t="s">
        <v>139</v>
      </c>
      <c r="C24" s="15">
        <v>46306.0</v>
      </c>
      <c r="D24" s="15">
        <v>46315.0</v>
      </c>
      <c r="E24" s="16">
        <f t="shared" si="2"/>
        <v>10</v>
      </c>
      <c r="F24" s="14" t="s">
        <v>146</v>
      </c>
      <c r="G24" s="14" t="s">
        <v>147</v>
      </c>
      <c r="H24" s="14" t="s">
        <v>148</v>
      </c>
      <c r="I24" s="14" t="s">
        <v>149</v>
      </c>
      <c r="J24" s="14" t="s">
        <v>17</v>
      </c>
      <c r="K24" s="17">
        <v>0.0</v>
      </c>
      <c r="L24" s="14" t="s">
        <v>2</v>
      </c>
      <c r="M24" s="18" t="str">
        <f t="shared" ref="M24:V24" si="16">IF(AND($C24&lt;=EOMONTH(M$8,0),$D24&gt;=M$8),"■","")</f>
        <v/>
      </c>
      <c r="N24" s="18" t="str">
        <f t="shared" si="16"/>
        <v/>
      </c>
      <c r="O24" s="18" t="str">
        <f t="shared" si="16"/>
        <v/>
      </c>
      <c r="P24" s="18" t="str">
        <f t="shared" si="16"/>
        <v/>
      </c>
      <c r="Q24" s="18" t="str">
        <f t="shared" si="16"/>
        <v/>
      </c>
      <c r="R24" s="18" t="str">
        <f t="shared" si="16"/>
        <v/>
      </c>
      <c r="S24" s="18" t="str">
        <f t="shared" si="16"/>
        <v/>
      </c>
      <c r="T24" s="18" t="str">
        <f t="shared" si="16"/>
        <v>■</v>
      </c>
      <c r="U24" s="18" t="str">
        <f t="shared" si="16"/>
        <v/>
      </c>
      <c r="V24" s="18" t="str">
        <f t="shared" si="16"/>
        <v/>
      </c>
      <c r="W24" s="14" t="s">
        <v>150</v>
      </c>
    </row>
    <row r="25" ht="57.75" customHeight="1">
      <c r="A25" s="14" t="s">
        <v>151</v>
      </c>
      <c r="B25" s="14" t="s">
        <v>152</v>
      </c>
      <c r="C25" s="15">
        <v>46316.0</v>
      </c>
      <c r="D25" s="15">
        <v>46326.0</v>
      </c>
      <c r="E25" s="16">
        <f t="shared" si="2"/>
        <v>11</v>
      </c>
      <c r="F25" s="14" t="s">
        <v>153</v>
      </c>
      <c r="G25" s="14" t="s">
        <v>154</v>
      </c>
      <c r="H25" s="14" t="s">
        <v>155</v>
      </c>
      <c r="I25" s="14" t="s">
        <v>156</v>
      </c>
      <c r="J25" s="14" t="s">
        <v>17</v>
      </c>
      <c r="K25" s="17">
        <v>0.0</v>
      </c>
      <c r="L25" s="14" t="s">
        <v>2</v>
      </c>
      <c r="M25" s="18" t="str">
        <f t="shared" ref="M25:V25" si="17">IF(AND($C25&lt;=EOMONTH(M$8,0),$D25&gt;=M$8),"■","")</f>
        <v/>
      </c>
      <c r="N25" s="18" t="str">
        <f t="shared" si="17"/>
        <v/>
      </c>
      <c r="O25" s="18" t="str">
        <f t="shared" si="17"/>
        <v/>
      </c>
      <c r="P25" s="18" t="str">
        <f t="shared" si="17"/>
        <v/>
      </c>
      <c r="Q25" s="18" t="str">
        <f t="shared" si="17"/>
        <v/>
      </c>
      <c r="R25" s="18" t="str">
        <f t="shared" si="17"/>
        <v/>
      </c>
      <c r="S25" s="18" t="str">
        <f t="shared" si="17"/>
        <v/>
      </c>
      <c r="T25" s="18" t="str">
        <f t="shared" si="17"/>
        <v>■</v>
      </c>
      <c r="U25" s="18" t="str">
        <f t="shared" si="17"/>
        <v/>
      </c>
      <c r="V25" s="18" t="str">
        <f t="shared" si="17"/>
        <v/>
      </c>
      <c r="W25" s="14" t="s">
        <v>157</v>
      </c>
    </row>
    <row r="26" ht="57.75" customHeight="1">
      <c r="A26" s="14" t="s">
        <v>158</v>
      </c>
      <c r="B26" s="14" t="s">
        <v>159</v>
      </c>
      <c r="C26" s="15">
        <v>46327.0</v>
      </c>
      <c r="D26" s="15">
        <v>46336.0</v>
      </c>
      <c r="E26" s="16">
        <f t="shared" si="2"/>
        <v>10</v>
      </c>
      <c r="F26" s="14" t="s">
        <v>160</v>
      </c>
      <c r="G26" s="14" t="s">
        <v>161</v>
      </c>
      <c r="H26" s="14" t="s">
        <v>162</v>
      </c>
      <c r="I26" s="14" t="s">
        <v>163</v>
      </c>
      <c r="J26" s="14" t="s">
        <v>17</v>
      </c>
      <c r="K26" s="17">
        <v>0.0</v>
      </c>
      <c r="L26" s="14" t="s">
        <v>2</v>
      </c>
      <c r="M26" s="18" t="str">
        <f t="shared" ref="M26:V26" si="18">IF(AND($C26&lt;=EOMONTH(M$8,0),$D26&gt;=M$8),"■","")</f>
        <v/>
      </c>
      <c r="N26" s="18" t="str">
        <f t="shared" si="18"/>
        <v/>
      </c>
      <c r="O26" s="18" t="str">
        <f t="shared" si="18"/>
        <v/>
      </c>
      <c r="P26" s="18" t="str">
        <f t="shared" si="18"/>
        <v/>
      </c>
      <c r="Q26" s="18" t="str">
        <f t="shared" si="18"/>
        <v/>
      </c>
      <c r="R26" s="18" t="str">
        <f t="shared" si="18"/>
        <v/>
      </c>
      <c r="S26" s="18" t="str">
        <f t="shared" si="18"/>
        <v/>
      </c>
      <c r="T26" s="18" t="str">
        <f t="shared" si="18"/>
        <v/>
      </c>
      <c r="U26" s="18" t="str">
        <f t="shared" si="18"/>
        <v>■</v>
      </c>
      <c r="V26" s="18" t="str">
        <f t="shared" si="18"/>
        <v/>
      </c>
      <c r="W26" s="14" t="s">
        <v>164</v>
      </c>
    </row>
    <row r="27" ht="57.75" customHeight="1">
      <c r="A27" s="14" t="s">
        <v>165</v>
      </c>
      <c r="B27" s="14" t="s">
        <v>159</v>
      </c>
      <c r="C27" s="15">
        <v>46337.0</v>
      </c>
      <c r="D27" s="15">
        <v>46346.0</v>
      </c>
      <c r="E27" s="16">
        <f t="shared" si="2"/>
        <v>10</v>
      </c>
      <c r="F27" s="14" t="s">
        <v>166</v>
      </c>
      <c r="G27" s="14" t="s">
        <v>167</v>
      </c>
      <c r="H27" s="14" t="s">
        <v>168</v>
      </c>
      <c r="I27" s="14" t="s">
        <v>169</v>
      </c>
      <c r="J27" s="14" t="s">
        <v>17</v>
      </c>
      <c r="K27" s="17">
        <v>0.0</v>
      </c>
      <c r="L27" s="14" t="s">
        <v>2</v>
      </c>
      <c r="M27" s="18" t="str">
        <f t="shared" ref="M27:V27" si="19">IF(AND($C27&lt;=EOMONTH(M$8,0),$D27&gt;=M$8),"■","")</f>
        <v/>
      </c>
      <c r="N27" s="18" t="str">
        <f t="shared" si="19"/>
        <v/>
      </c>
      <c r="O27" s="18" t="str">
        <f t="shared" si="19"/>
        <v/>
      </c>
      <c r="P27" s="18" t="str">
        <f t="shared" si="19"/>
        <v/>
      </c>
      <c r="Q27" s="18" t="str">
        <f t="shared" si="19"/>
        <v/>
      </c>
      <c r="R27" s="18" t="str">
        <f t="shared" si="19"/>
        <v/>
      </c>
      <c r="S27" s="18" t="str">
        <f t="shared" si="19"/>
        <v/>
      </c>
      <c r="T27" s="18" t="str">
        <f t="shared" si="19"/>
        <v/>
      </c>
      <c r="U27" s="18" t="str">
        <f t="shared" si="19"/>
        <v>■</v>
      </c>
      <c r="V27" s="18" t="str">
        <f t="shared" si="19"/>
        <v/>
      </c>
      <c r="W27" s="14" t="s">
        <v>170</v>
      </c>
    </row>
    <row r="28" ht="57.75" customHeight="1">
      <c r="A28" s="14" t="s">
        <v>171</v>
      </c>
      <c r="B28" s="14" t="s">
        <v>159</v>
      </c>
      <c r="C28" s="15">
        <v>46347.0</v>
      </c>
      <c r="D28" s="15">
        <v>46356.0</v>
      </c>
      <c r="E28" s="16">
        <f t="shared" si="2"/>
        <v>10</v>
      </c>
      <c r="F28" s="14" t="s">
        <v>172</v>
      </c>
      <c r="G28" s="14" t="s">
        <v>173</v>
      </c>
      <c r="H28" s="14" t="s">
        <v>174</v>
      </c>
      <c r="I28" s="14" t="s">
        <v>175</v>
      </c>
      <c r="J28" s="14" t="s">
        <v>17</v>
      </c>
      <c r="K28" s="17">
        <v>0.0</v>
      </c>
      <c r="L28" s="14" t="s">
        <v>2</v>
      </c>
      <c r="M28" s="18" t="str">
        <f t="shared" ref="M28:V28" si="20">IF(AND($C28&lt;=EOMONTH(M$8,0),$D28&gt;=M$8),"■","")</f>
        <v/>
      </c>
      <c r="N28" s="18" t="str">
        <f t="shared" si="20"/>
        <v/>
      </c>
      <c r="O28" s="18" t="str">
        <f t="shared" si="20"/>
        <v/>
      </c>
      <c r="P28" s="18" t="str">
        <f t="shared" si="20"/>
        <v/>
      </c>
      <c r="Q28" s="18" t="str">
        <f t="shared" si="20"/>
        <v/>
      </c>
      <c r="R28" s="18" t="str">
        <f t="shared" si="20"/>
        <v/>
      </c>
      <c r="S28" s="18" t="str">
        <f t="shared" si="20"/>
        <v/>
      </c>
      <c r="T28" s="18" t="str">
        <f t="shared" si="20"/>
        <v/>
      </c>
      <c r="U28" s="18" t="str">
        <f t="shared" si="20"/>
        <v>■</v>
      </c>
      <c r="V28" s="18" t="str">
        <f t="shared" si="20"/>
        <v/>
      </c>
      <c r="W28" s="14" t="s">
        <v>176</v>
      </c>
    </row>
    <row r="29" ht="57.75" customHeight="1">
      <c r="A29" s="14" t="s">
        <v>177</v>
      </c>
      <c r="B29" s="14" t="s">
        <v>178</v>
      </c>
      <c r="C29" s="15">
        <v>46357.0</v>
      </c>
      <c r="D29" s="15">
        <v>46366.0</v>
      </c>
      <c r="E29" s="16">
        <f t="shared" si="2"/>
        <v>10</v>
      </c>
      <c r="F29" s="14" t="s">
        <v>179</v>
      </c>
      <c r="G29" s="14" t="s">
        <v>180</v>
      </c>
      <c r="H29" s="14" t="s">
        <v>181</v>
      </c>
      <c r="I29" s="14" t="s">
        <v>182</v>
      </c>
      <c r="J29" s="14" t="s">
        <v>17</v>
      </c>
      <c r="K29" s="17">
        <v>0.0</v>
      </c>
      <c r="L29" s="14" t="s">
        <v>2</v>
      </c>
      <c r="M29" s="18" t="str">
        <f t="shared" ref="M29:V29" si="21">IF(AND($C29&lt;=EOMONTH(M$8,0),$D29&gt;=M$8),"■","")</f>
        <v/>
      </c>
      <c r="N29" s="18" t="str">
        <f t="shared" si="21"/>
        <v/>
      </c>
      <c r="O29" s="18" t="str">
        <f t="shared" si="21"/>
        <v/>
      </c>
      <c r="P29" s="18" t="str">
        <f t="shared" si="21"/>
        <v/>
      </c>
      <c r="Q29" s="18" t="str">
        <f t="shared" si="21"/>
        <v/>
      </c>
      <c r="R29" s="18" t="str">
        <f t="shared" si="21"/>
        <v/>
      </c>
      <c r="S29" s="18" t="str">
        <f t="shared" si="21"/>
        <v/>
      </c>
      <c r="T29" s="18" t="str">
        <f t="shared" si="21"/>
        <v/>
      </c>
      <c r="U29" s="18" t="str">
        <f t="shared" si="21"/>
        <v/>
      </c>
      <c r="V29" s="18" t="str">
        <f t="shared" si="21"/>
        <v>■</v>
      </c>
      <c r="W29" s="14" t="s">
        <v>183</v>
      </c>
    </row>
    <row r="30" ht="57.75" customHeight="1">
      <c r="A30" s="14" t="s">
        <v>184</v>
      </c>
      <c r="B30" s="14" t="s">
        <v>185</v>
      </c>
      <c r="C30" s="15">
        <v>46367.0</v>
      </c>
      <c r="D30" s="15">
        <v>46376.0</v>
      </c>
      <c r="E30" s="16">
        <f t="shared" si="2"/>
        <v>10</v>
      </c>
      <c r="F30" s="14" t="s">
        <v>186</v>
      </c>
      <c r="G30" s="14" t="s">
        <v>187</v>
      </c>
      <c r="H30" s="14" t="s">
        <v>188</v>
      </c>
      <c r="I30" s="14" t="s">
        <v>189</v>
      </c>
      <c r="J30" s="14" t="s">
        <v>17</v>
      </c>
      <c r="K30" s="17">
        <v>0.0</v>
      </c>
      <c r="L30" s="14" t="s">
        <v>2</v>
      </c>
      <c r="M30" s="18" t="str">
        <f t="shared" ref="M30:V30" si="22">IF(AND($C30&lt;=EOMONTH(M$8,0),$D30&gt;=M$8),"■","")</f>
        <v/>
      </c>
      <c r="N30" s="18" t="str">
        <f t="shared" si="22"/>
        <v/>
      </c>
      <c r="O30" s="18" t="str">
        <f t="shared" si="22"/>
        <v/>
      </c>
      <c r="P30" s="18" t="str">
        <f t="shared" si="22"/>
        <v/>
      </c>
      <c r="Q30" s="18" t="str">
        <f t="shared" si="22"/>
        <v/>
      </c>
      <c r="R30" s="18" t="str">
        <f t="shared" si="22"/>
        <v/>
      </c>
      <c r="S30" s="18" t="str">
        <f t="shared" si="22"/>
        <v/>
      </c>
      <c r="T30" s="18" t="str">
        <f t="shared" si="22"/>
        <v/>
      </c>
      <c r="U30" s="18" t="str">
        <f t="shared" si="22"/>
        <v/>
      </c>
      <c r="V30" s="18" t="str">
        <f t="shared" si="22"/>
        <v>■</v>
      </c>
      <c r="W30" s="14" t="s">
        <v>190</v>
      </c>
    </row>
    <row r="31" ht="57.75" customHeight="1">
      <c r="A31" s="14" t="s">
        <v>191</v>
      </c>
      <c r="B31" s="14" t="s">
        <v>185</v>
      </c>
      <c r="C31" s="15">
        <v>46377.0</v>
      </c>
      <c r="D31" s="15">
        <v>46387.0</v>
      </c>
      <c r="E31" s="16">
        <f t="shared" si="2"/>
        <v>11</v>
      </c>
      <c r="F31" s="14" t="s">
        <v>192</v>
      </c>
      <c r="G31" s="14" t="s">
        <v>193</v>
      </c>
      <c r="H31" s="14" t="s">
        <v>194</v>
      </c>
      <c r="I31" s="14" t="s">
        <v>195</v>
      </c>
      <c r="J31" s="14" t="s">
        <v>17</v>
      </c>
      <c r="K31" s="17">
        <v>0.0</v>
      </c>
      <c r="L31" s="14" t="s">
        <v>2</v>
      </c>
      <c r="M31" s="18" t="str">
        <f t="shared" ref="M31:V31" si="23">IF(AND($C31&lt;=EOMONTH(M$8,0),$D31&gt;=M$8),"■","")</f>
        <v/>
      </c>
      <c r="N31" s="18" t="str">
        <f t="shared" si="23"/>
        <v/>
      </c>
      <c r="O31" s="18" t="str">
        <f t="shared" si="23"/>
        <v/>
      </c>
      <c r="P31" s="18" t="str">
        <f t="shared" si="23"/>
        <v/>
      </c>
      <c r="Q31" s="18" t="str">
        <f t="shared" si="23"/>
        <v/>
      </c>
      <c r="R31" s="18" t="str">
        <f t="shared" si="23"/>
        <v/>
      </c>
      <c r="S31" s="18" t="str">
        <f t="shared" si="23"/>
        <v/>
      </c>
      <c r="T31" s="18" t="str">
        <f t="shared" si="23"/>
        <v/>
      </c>
      <c r="U31" s="18" t="str">
        <f t="shared" si="23"/>
        <v/>
      </c>
      <c r="V31" s="18" t="str">
        <f t="shared" si="23"/>
        <v>■</v>
      </c>
      <c r="W31" s="14" t="s">
        <v>196</v>
      </c>
    </row>
    <row r="32" ht="15.75" customHeight="1"/>
    <row r="33" ht="15.75" customHeight="1">
      <c r="A33" s="6" t="s">
        <v>197</v>
      </c>
    </row>
    <row r="34" ht="105.75" customHeight="1">
      <c r="A34" s="19" t="s">
        <v>198</v>
      </c>
      <c r="B34" s="20" t="s">
        <v>199</v>
      </c>
    </row>
    <row r="35" ht="111.75" customHeight="1">
      <c r="A35" s="19" t="s">
        <v>200</v>
      </c>
      <c r="B35" s="20" t="s">
        <v>201</v>
      </c>
    </row>
    <row r="36" ht="87.75" customHeight="1">
      <c r="A36" s="19" t="s">
        <v>202</v>
      </c>
      <c r="B36" s="20" t="s">
        <v>203</v>
      </c>
    </row>
    <row r="37" ht="76.5" customHeight="1">
      <c r="A37" s="19" t="s">
        <v>204</v>
      </c>
      <c r="B37" s="20" t="s">
        <v>205</v>
      </c>
    </row>
    <row r="38" ht="86.25" customHeight="1">
      <c r="A38" s="19" t="s">
        <v>206</v>
      </c>
      <c r="B38" s="20" t="s">
        <v>207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U1"/>
    <mergeCell ref="A2:U2"/>
    <mergeCell ref="H4:U4"/>
    <mergeCell ref="A8:K8"/>
    <mergeCell ref="A33:W33"/>
  </mergeCells>
  <conditionalFormatting sqref="J10:J31">
    <cfRule type="expression" dxfId="4" priority="1">
      <formula>J10="Completed"</formula>
    </cfRule>
  </conditionalFormatting>
  <conditionalFormatting sqref="J10:J31">
    <cfRule type="expression" dxfId="5" priority="2">
      <formula>J10="In progress"</formula>
    </cfRule>
  </conditionalFormatting>
  <conditionalFormatting sqref="J10:J31">
    <cfRule type="expression" dxfId="6" priority="3">
      <formula>J10="Planned"</formula>
    </cfRule>
  </conditionalFormatting>
  <conditionalFormatting sqref="J10:J31">
    <cfRule type="expression" dxfId="7" priority="4">
      <formula>J10="Delayed"</formula>
    </cfRule>
  </conditionalFormatting>
  <conditionalFormatting sqref="M10:V31">
    <cfRule type="expression" dxfId="8" priority="5">
      <formula>M10="■"</formula>
    </cfRule>
  </conditionalFormatting>
  <dataValidations>
    <dataValidation type="list" allowBlank="1" sqref="L10:L31">
      <formula1>"Researcher,Researcher + CMEST,Researcher + media archives,Researcher + participants"</formula1>
    </dataValidation>
    <dataValidation type="list" allowBlank="1" sqref="J10:J31">
      <formula1>"Completed,In progress,Planned,Delayed,On hold"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